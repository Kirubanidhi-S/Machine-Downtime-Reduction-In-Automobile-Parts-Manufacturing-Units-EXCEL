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d8ef7723563a79/Documents/PROJECTS BA/"/>
    </mc:Choice>
  </mc:AlternateContent>
  <xr:revisionPtr revIDLastSave="11" documentId="11_666A7D425703592E7B33A73BC39AE7B060DEF5AD" xr6:coauthVersionLast="47" xr6:coauthVersionMax="47" xr10:uidLastSave="{B03F334B-3A9C-4BA5-8ADB-D68546AA2F93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  <sheet name="Sheet2" sheetId="2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N11" i="2"/>
  <c r="M11" i="2"/>
  <c r="K11" i="2"/>
  <c r="J11" i="2"/>
  <c r="O10" i="2"/>
  <c r="N10" i="2"/>
  <c r="M10" i="2"/>
  <c r="K10" i="2"/>
  <c r="J10" i="2"/>
  <c r="O9" i="2"/>
  <c r="N9" i="2"/>
  <c r="M9" i="2"/>
  <c r="K9" i="2"/>
  <c r="J9" i="2"/>
  <c r="O8" i="2" l="1"/>
  <c r="N8" i="2"/>
  <c r="M8" i="2"/>
  <c r="K8" i="2"/>
  <c r="J8" i="2"/>
  <c r="Q8" i="2" s="1"/>
  <c r="O7" i="2"/>
  <c r="N7" i="2"/>
  <c r="M7" i="2"/>
  <c r="K7" i="2"/>
  <c r="J7" i="2"/>
  <c r="O6" i="2"/>
  <c r="N6" i="2"/>
  <c r="M6" i="2"/>
  <c r="K6" i="2"/>
  <c r="J6" i="2"/>
  <c r="Q11" i="2" s="1"/>
  <c r="O5" i="2"/>
  <c r="N5" i="2"/>
  <c r="M5" i="2"/>
  <c r="K5" i="2"/>
  <c r="J5" i="2"/>
  <c r="O4" i="2"/>
  <c r="N4" i="2"/>
  <c r="M4" i="2"/>
  <c r="K4" i="2"/>
  <c r="J4" i="2"/>
  <c r="O3" i="2"/>
  <c r="N3" i="2"/>
  <c r="M3" i="2"/>
  <c r="K3" i="2"/>
  <c r="J3" i="2"/>
  <c r="Q3" i="2" s="1"/>
  <c r="P3" i="2" s="1"/>
  <c r="O2" i="2"/>
  <c r="N2" i="2"/>
  <c r="M2" i="2"/>
  <c r="K2" i="2"/>
  <c r="J2" i="2"/>
  <c r="P8" i="2" s="1"/>
  <c r="D23" i="1"/>
  <c r="C23" i="1"/>
  <c r="B23" i="1"/>
  <c r="D22" i="1"/>
  <c r="C22" i="1"/>
  <c r="B22" i="1"/>
  <c r="D21" i="1"/>
  <c r="C21" i="1"/>
  <c r="B21" i="1"/>
  <c r="F20" i="1"/>
  <c r="D20" i="1"/>
  <c r="C20" i="1"/>
  <c r="B20" i="1"/>
  <c r="H19" i="1"/>
  <c r="F19" i="1"/>
  <c r="D19" i="1"/>
  <c r="C19" i="1"/>
  <c r="B19" i="1"/>
  <c r="H18" i="1"/>
  <c r="F18" i="1"/>
  <c r="D18" i="1"/>
  <c r="C18" i="1"/>
  <c r="B18" i="1"/>
  <c r="H17" i="1"/>
  <c r="F17" i="1"/>
  <c r="D17" i="1"/>
  <c r="C17" i="1"/>
  <c r="B17" i="1"/>
  <c r="H16" i="1"/>
  <c r="F16" i="1"/>
  <c r="D16" i="1"/>
  <c r="C16" i="1"/>
  <c r="B16" i="1"/>
  <c r="H15" i="1"/>
  <c r="F15" i="1"/>
  <c r="D15" i="1"/>
  <c r="C15" i="1"/>
  <c r="B15" i="1"/>
  <c r="D14" i="1"/>
  <c r="C14" i="1"/>
  <c r="B14" i="1"/>
  <c r="P7" i="2" l="1"/>
  <c r="Q7" i="2"/>
  <c r="P2" i="2"/>
  <c r="Q2" i="2"/>
  <c r="P4" i="2"/>
  <c r="Q4" i="2"/>
  <c r="Q6" i="2"/>
  <c r="P6" i="2"/>
  <c r="P11" i="2"/>
  <c r="P10" i="2"/>
  <c r="P9" i="2"/>
  <c r="Q9" i="2"/>
  <c r="P5" i="2"/>
  <c r="Q10" i="2"/>
  <c r="Q5" i="2"/>
</calcChain>
</file>

<file path=xl/sharedStrings.xml><?xml version="1.0" encoding="utf-8"?>
<sst xmlns="http://schemas.openxmlformats.org/spreadsheetml/2006/main" count="165" uniqueCount="70">
  <si>
    <t>Date</t>
  </si>
  <si>
    <t>Machine</t>
  </si>
  <si>
    <t>Operator</t>
  </si>
  <si>
    <t>Shift</t>
  </si>
  <si>
    <t>Planned_Down (mins)</t>
  </si>
  <si>
    <t>Unplanned_Down (mins)</t>
  </si>
  <si>
    <t>Total_Produced</t>
  </si>
  <si>
    <t>Target</t>
  </si>
  <si>
    <t>Major_Issue</t>
  </si>
  <si>
    <t>CNC-1</t>
  </si>
  <si>
    <t>Rajesh</t>
  </si>
  <si>
    <t>A</t>
  </si>
  <si>
    <t>Tool wear</t>
  </si>
  <si>
    <t>CNC-2</t>
  </si>
  <si>
    <t>Manoj</t>
  </si>
  <si>
    <t>Alignment issue</t>
  </si>
  <si>
    <t>CNC-3</t>
  </si>
  <si>
    <t>Siva</t>
  </si>
  <si>
    <t>B</t>
  </si>
  <si>
    <t>Spindle overheating</t>
  </si>
  <si>
    <t>CNC-4</t>
  </si>
  <si>
    <t>Karan</t>
  </si>
  <si>
    <t>Tool breakage</t>
  </si>
  <si>
    <t>VMC-1</t>
  </si>
  <si>
    <t>John</t>
  </si>
  <si>
    <t>C</t>
  </si>
  <si>
    <t>Coolant issue</t>
  </si>
  <si>
    <t>Production loss</t>
  </si>
  <si>
    <t>Achievement</t>
  </si>
  <si>
    <t>machine efficiency</t>
  </si>
  <si>
    <t>8 hrs(480 min)-Tt down time(595)</t>
  </si>
  <si>
    <t>Max production=</t>
  </si>
  <si>
    <t>Min production=</t>
  </si>
  <si>
    <t>CNC-1 Machine(avg)=</t>
  </si>
  <si>
    <t>CNC-2 Machine(avg)=</t>
  </si>
  <si>
    <t>CNC-3 Machine(avg)=</t>
  </si>
  <si>
    <t>CNC-4 Machine(avg)=</t>
  </si>
  <si>
    <t>VMC-1 Machine(avg)=</t>
  </si>
  <si>
    <t>Sum of planned down time=</t>
  </si>
  <si>
    <t>Sum of Unplanned down time=</t>
  </si>
  <si>
    <t>MACHINES</t>
  </si>
  <si>
    <t>Average of Tt production=</t>
  </si>
  <si>
    <t>Total DT =</t>
  </si>
  <si>
    <t>VALUES</t>
  </si>
  <si>
    <t>TABLE</t>
  </si>
  <si>
    <t>Total Produced</t>
  </si>
  <si>
    <t>Unplanned Down (mins)</t>
  </si>
  <si>
    <t>Planned Down (mins)</t>
  </si>
  <si>
    <t>Acheivement</t>
  </si>
  <si>
    <t>Acheivement (%)</t>
  </si>
  <si>
    <t>8 hrs(480 min)-Tt DT(595)</t>
  </si>
  <si>
    <t>Row Labels</t>
  </si>
  <si>
    <t>Grand Total</t>
  </si>
  <si>
    <t>Values</t>
  </si>
  <si>
    <t xml:space="preserve">Sum of planned DT </t>
  </si>
  <si>
    <t>Sum of Unplanned DT</t>
  </si>
  <si>
    <t>Not achieved</t>
  </si>
  <si>
    <t>AVG Tt produced</t>
  </si>
  <si>
    <t>Sum of Total Produced</t>
  </si>
  <si>
    <t>Sum of Planned Down (mins)</t>
  </si>
  <si>
    <t>Sum of Unplanned Down (mins)</t>
  </si>
  <si>
    <t>Achieved</t>
  </si>
  <si>
    <t>Sum of Achieved</t>
  </si>
  <si>
    <t>Sum of Not achieved</t>
  </si>
  <si>
    <t>Column3</t>
  </si>
  <si>
    <t>Sum of achieved</t>
  </si>
  <si>
    <t>Sum of not achieved</t>
  </si>
  <si>
    <t>Sum of Tt produced</t>
  </si>
  <si>
    <t>sum of planned DT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</si>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</sst>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6" xfId="0" applyFill="1" applyBorder="1" applyAlignment="1">
      <alignment wrapText="1"/>
    </xf>
    <xf numFmtId="16" fontId="0" fillId="3" borderId="4" xfId="0" applyNumberFormat="1" applyFill="1" applyBorder="1" applyAlignment="1">
      <alignment wrapText="1"/>
    </xf>
    <xf numFmtId="16" fontId="0" fillId="4" borderId="4" xfId="0" applyNumberFormat="1" applyFill="1" applyBorder="1" applyAlignment="1">
      <alignment wrapText="1"/>
    </xf>
    <xf numFmtId="16" fontId="0" fillId="4" borderId="6" xfId="0" applyNumberFormat="1" applyFill="1" applyBorder="1" applyAlignment="1">
      <alignment wrapText="1"/>
    </xf>
    <xf numFmtId="0" fontId="2" fillId="2" borderId="7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0" fillId="4" borderId="8" xfId="0" applyFill="1" applyBorder="1"/>
    <xf numFmtId="0" fontId="0" fillId="4" borderId="9" xfId="0" applyFill="1" applyBorder="1"/>
    <xf numFmtId="0" fontId="2" fillId="2" borderId="9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1" fillId="0" borderId="0" xfId="0" applyNumberFormat="1" applyFont="1" applyAlignment="1">
      <alignment wrapText="1"/>
    </xf>
    <xf numFmtId="2" fontId="0" fillId="0" borderId="0" xfId="0" applyNumberFormat="1"/>
    <xf numFmtId="0" fontId="1" fillId="5" borderId="10" xfId="0" applyFont="1" applyFill="1" applyBorder="1"/>
    <xf numFmtId="0" fontId="1" fillId="5" borderId="11" xfId="0" applyFont="1" applyFill="1" applyBorder="1" applyAlignment="1">
      <alignment horizontal="left"/>
    </xf>
    <xf numFmtId="0" fontId="1" fillId="5" borderId="11" xfId="0" applyFont="1" applyFill="1" applyBorder="1"/>
    <xf numFmtId="0" fontId="1" fillId="5" borderId="10" xfId="0" applyFont="1" applyFill="1" applyBorder="1" applyAlignment="1">
      <alignment wrapText="1"/>
    </xf>
  </cellXfs>
  <cellStyles count="1">
    <cellStyle name="Normal" xfId="0" builtinId="0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21" formatCode="dd/mmm"/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relative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project(BA).xlsx]Sheet2!PivotTable8</c:name>
    <c:fmtId val="12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PRODUCTION</a:t>
            </a:r>
            <a:r>
              <a:rPr lang="en-US" sz="1400" baseline="0"/>
              <a:t> Vs TARGET</a:t>
            </a:r>
            <a:endParaRPr lang="en-US" sz="1400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Sheet2!$K$18:$K$19</c:f>
              <c:strCache>
                <c:ptCount val="1"/>
                <c:pt idx="0">
                  <c:v>Sum of Achieved</c:v>
                </c:pt>
              </c:strCache>
            </c:strRef>
          </c:tx>
          <c:invertIfNegative val="0"/>
          <c:cat>
            <c:strRef>
              <c:f>Sheet2!$J$20:$J$25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Sheet2!$K$20:$K$25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6-4AAB-BE40-20AEE019585B}"/>
            </c:ext>
          </c:extLst>
        </c:ser>
        <c:ser>
          <c:idx val="1"/>
          <c:order val="1"/>
          <c:tx>
            <c:strRef>
              <c:f>Sheet2!$L$18:$L$19</c:f>
              <c:strCache>
                <c:ptCount val="1"/>
                <c:pt idx="0">
                  <c:v>Sum of Not achieved</c:v>
                </c:pt>
              </c:strCache>
            </c:strRef>
          </c:tx>
          <c:invertIfNegative val="0"/>
          <c:trendline>
            <c:trendlineType val="linear"/>
            <c:dispRSqr val="0"/>
            <c:dispEq val="0"/>
          </c:trendline>
          <c:cat>
            <c:strRef>
              <c:f>Sheet2!$J$20:$J$25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Sheet2!$L$20:$L$25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6-4AAB-BE40-20AEE019585B}"/>
            </c:ext>
          </c:extLst>
        </c:ser>
        <c:ser>
          <c:idx val="2"/>
          <c:order val="2"/>
          <c:tx>
            <c:strRef>
              <c:f>Sheet2!$M$18:$M$19</c:f>
              <c:strCache>
                <c:ptCount val="1"/>
                <c:pt idx="0">
                  <c:v>Sum of Total Produced</c:v>
                </c:pt>
              </c:strCache>
            </c:strRef>
          </c:tx>
          <c:invertIfNegative val="0"/>
          <c:cat>
            <c:strRef>
              <c:f>Sheet2!$J$20:$J$25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Sheet2!$M$20:$M$25</c:f>
              <c:numCache>
                <c:formatCode>General</c:formatCode>
                <c:ptCount val="5"/>
                <c:pt idx="0">
                  <c:v>810</c:v>
                </c:pt>
                <c:pt idx="1">
                  <c:v>850</c:v>
                </c:pt>
                <c:pt idx="2">
                  <c:v>710</c:v>
                </c:pt>
                <c:pt idx="3">
                  <c:v>670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C6-4AAB-BE40-20AEE0195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16480"/>
        <c:axId val="114958720"/>
      </c:barChart>
      <c:catAx>
        <c:axId val="1069164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14958720"/>
        <c:crosses val="autoZero"/>
        <c:auto val="1"/>
        <c:lblAlgn val="ctr"/>
        <c:lblOffset val="100"/>
        <c:noMultiLvlLbl val="0"/>
      </c:catAx>
      <c:valAx>
        <c:axId val="114958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916480"/>
        <c:crosses val="autoZero"/>
        <c:crossBetween val="between"/>
      </c:valAx>
      <c:spPr>
        <a:solidFill>
          <a:schemeClr val="lt1"/>
        </a:solidFill>
        <a:ln w="25400" cap="flat" cmpd="sng" algn="ctr">
          <a:solidFill>
            <a:schemeClr val="accent4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4326377952755909"/>
          <c:y val="0.28108012540099175"/>
          <c:w val="0.34006955380577431"/>
          <c:h val="0.55862642169728782"/>
        </c:manualLayout>
      </c:layout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mini project(BA).xlsx]Sheet2!PivotTable10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Planned vs Unplanned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Sheet2!$C$14:$C$15</c:f>
              <c:strCache>
                <c:ptCount val="1"/>
                <c:pt idx="0">
                  <c:v>Sum of Planned Down (mins)</c:v>
                </c:pt>
              </c:strCache>
            </c:strRef>
          </c:tx>
          <c:invertIfNegative val="0"/>
          <c:cat>
            <c:strRef>
              <c:f>Sheet2!$B$16:$B$21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Sheet2!$C$16:$C$21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38</c:v>
                </c:pt>
                <c:pt idx="3">
                  <c:v>27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F-45B7-B92E-5D3E609AA03D}"/>
            </c:ext>
          </c:extLst>
        </c:ser>
        <c:ser>
          <c:idx val="1"/>
          <c:order val="1"/>
          <c:tx>
            <c:strRef>
              <c:f>Sheet2!$D$14:$D$15</c:f>
              <c:strCache>
                <c:ptCount val="1"/>
                <c:pt idx="0">
                  <c:v>Sum of Unplanned Down (mins)</c:v>
                </c:pt>
              </c:strCache>
            </c:strRef>
          </c:tx>
          <c:invertIfNegative val="0"/>
          <c:cat>
            <c:strRef>
              <c:f>Sheet2!$B$16:$B$21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Sheet2!$D$16:$D$21</c:f>
              <c:numCache>
                <c:formatCode>General</c:formatCode>
                <c:ptCount val="5"/>
                <c:pt idx="0">
                  <c:v>42</c:v>
                </c:pt>
                <c:pt idx="1">
                  <c:v>45</c:v>
                </c:pt>
                <c:pt idx="2">
                  <c:v>115</c:v>
                </c:pt>
                <c:pt idx="3">
                  <c:v>138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F-45B7-B92E-5D3E609AA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223296"/>
        <c:axId val="105772928"/>
      </c:barChart>
      <c:catAx>
        <c:axId val="105223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5772928"/>
        <c:crosses val="autoZero"/>
        <c:auto val="1"/>
        <c:lblAlgn val="ctr"/>
        <c:lblOffset val="100"/>
        <c:noMultiLvlLbl val="0"/>
      </c:catAx>
      <c:valAx>
        <c:axId val="10577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223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project(BA).xlsx]Sheet2!PivotTable8</c:name>
    <c:fmtId val="2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PRODUCTION</a:t>
            </a:r>
            <a:r>
              <a:rPr lang="en-US" sz="1400" baseline="0"/>
              <a:t> Vs TARGET</a:t>
            </a:r>
            <a:endParaRPr lang="en-US" sz="1400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Sheet2!$K$18:$K$19</c:f>
              <c:strCache>
                <c:ptCount val="1"/>
                <c:pt idx="0">
                  <c:v>Sum of Achieved</c:v>
                </c:pt>
              </c:strCache>
            </c:strRef>
          </c:tx>
          <c:invertIfNegative val="0"/>
          <c:cat>
            <c:strRef>
              <c:f>Sheet2!$J$20:$J$25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Sheet2!$K$20:$K$25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D-45C3-8893-593642C2DF24}"/>
            </c:ext>
          </c:extLst>
        </c:ser>
        <c:ser>
          <c:idx val="1"/>
          <c:order val="1"/>
          <c:tx>
            <c:strRef>
              <c:f>Sheet2!$L$18:$L$19</c:f>
              <c:strCache>
                <c:ptCount val="1"/>
                <c:pt idx="0">
                  <c:v>Sum of Not achieved</c:v>
                </c:pt>
              </c:strCache>
            </c:strRef>
          </c:tx>
          <c:invertIfNegative val="0"/>
          <c:trendline>
            <c:trendlineType val="linear"/>
            <c:dispRSqr val="0"/>
            <c:dispEq val="0"/>
          </c:trendline>
          <c:cat>
            <c:strRef>
              <c:f>Sheet2!$J$20:$J$25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Sheet2!$L$20:$L$25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D-45C3-8893-593642C2DF24}"/>
            </c:ext>
          </c:extLst>
        </c:ser>
        <c:ser>
          <c:idx val="2"/>
          <c:order val="2"/>
          <c:tx>
            <c:strRef>
              <c:f>Sheet2!$M$18:$M$19</c:f>
              <c:strCache>
                <c:ptCount val="1"/>
                <c:pt idx="0">
                  <c:v>Sum of Total Produced</c:v>
                </c:pt>
              </c:strCache>
            </c:strRef>
          </c:tx>
          <c:invertIfNegative val="0"/>
          <c:cat>
            <c:strRef>
              <c:f>Sheet2!$J$20:$J$25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Sheet2!$M$20:$M$25</c:f>
              <c:numCache>
                <c:formatCode>General</c:formatCode>
                <c:ptCount val="5"/>
                <c:pt idx="0">
                  <c:v>810</c:v>
                </c:pt>
                <c:pt idx="1">
                  <c:v>850</c:v>
                </c:pt>
                <c:pt idx="2">
                  <c:v>710</c:v>
                </c:pt>
                <c:pt idx="3">
                  <c:v>670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8D-45C3-8893-593642C2D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996032"/>
        <c:axId val="147338368"/>
      </c:barChart>
      <c:catAx>
        <c:axId val="14799603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47338368"/>
        <c:crosses val="autoZero"/>
        <c:auto val="1"/>
        <c:lblAlgn val="ctr"/>
        <c:lblOffset val="100"/>
        <c:noMultiLvlLbl val="0"/>
      </c:catAx>
      <c:valAx>
        <c:axId val="14733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996032"/>
        <c:crosses val="autoZero"/>
        <c:crossBetween val="between"/>
      </c:valAx>
      <c:spPr>
        <a:solidFill>
          <a:schemeClr val="lt1"/>
        </a:solidFill>
        <a:ln w="25400" cap="flat" cmpd="sng" algn="ctr">
          <a:solidFill>
            <a:schemeClr val="accent4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4326377952755909"/>
          <c:y val="0.28108012540099164"/>
          <c:w val="0.34006955380577431"/>
          <c:h val="0.55862642169728782"/>
        </c:manualLayout>
      </c:layout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mini project(BA).xlsx]Sheet2!PivotTable10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Planned vs Unplanned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Sheet2!$C$14:$C$15</c:f>
              <c:strCache>
                <c:ptCount val="1"/>
                <c:pt idx="0">
                  <c:v>Sum of Planned Down (mins)</c:v>
                </c:pt>
              </c:strCache>
            </c:strRef>
          </c:tx>
          <c:invertIfNegative val="0"/>
          <c:cat>
            <c:strRef>
              <c:f>Sheet2!$B$16:$B$21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Sheet2!$C$16:$C$21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38</c:v>
                </c:pt>
                <c:pt idx="3">
                  <c:v>27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4-449F-AB33-2486548C5630}"/>
            </c:ext>
          </c:extLst>
        </c:ser>
        <c:ser>
          <c:idx val="1"/>
          <c:order val="1"/>
          <c:tx>
            <c:strRef>
              <c:f>Sheet2!$D$14:$D$15</c:f>
              <c:strCache>
                <c:ptCount val="1"/>
                <c:pt idx="0">
                  <c:v>Sum of Unplanned Down (mins)</c:v>
                </c:pt>
              </c:strCache>
            </c:strRef>
          </c:tx>
          <c:invertIfNegative val="0"/>
          <c:cat>
            <c:strRef>
              <c:f>Sheet2!$B$16:$B$21</c:f>
              <c:strCache>
                <c:ptCount val="5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  <c:pt idx="3">
                  <c:v>CNC-4</c:v>
                </c:pt>
                <c:pt idx="4">
                  <c:v>VMC-1</c:v>
                </c:pt>
              </c:strCache>
            </c:strRef>
          </c:cat>
          <c:val>
            <c:numRef>
              <c:f>Sheet2!$D$16:$D$21</c:f>
              <c:numCache>
                <c:formatCode>General</c:formatCode>
                <c:ptCount val="5"/>
                <c:pt idx="0">
                  <c:v>42</c:v>
                </c:pt>
                <c:pt idx="1">
                  <c:v>45</c:v>
                </c:pt>
                <c:pt idx="2">
                  <c:v>115</c:v>
                </c:pt>
                <c:pt idx="3">
                  <c:v>138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4-449F-AB33-2486548C5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11008"/>
        <c:axId val="88812544"/>
      </c:barChart>
      <c:catAx>
        <c:axId val="88811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8812544"/>
        <c:crosses val="autoZero"/>
        <c:auto val="1"/>
        <c:lblAlgn val="ctr"/>
        <c:lblOffset val="100"/>
        <c:noMultiLvlLbl val="0"/>
      </c:catAx>
      <c:valAx>
        <c:axId val="8881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81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1</xdr:row>
      <xdr:rowOff>161926</xdr:rowOff>
    </xdr:from>
    <xdr:to>
      <xdr:col>4</xdr:col>
      <xdr:colOff>182026</xdr:colOff>
      <xdr:row>6</xdr:row>
      <xdr:rowOff>181426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52426" y="352426"/>
          <a:ext cx="2639475" cy="9720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>
              <a:ln>
                <a:solidFill>
                  <a:schemeClr val="tx2"/>
                </a:solidFill>
              </a:ln>
            </a:rPr>
            <a:t>AVERAGE PRODUCTION</a:t>
          </a:r>
        </a:p>
        <a:p>
          <a:pPr algn="ctr"/>
          <a:r>
            <a:rPr lang="en-US" sz="1100"/>
            <a:t>395   </a:t>
          </a:r>
        </a:p>
        <a:p>
          <a:pPr algn="ctr"/>
          <a:endParaRPr lang="en-US" sz="1100"/>
        </a:p>
      </xdr:txBody>
    </xdr:sp>
    <xdr:clientData/>
  </xdr:twoCellAnchor>
  <xdr:twoCellAnchor>
    <xdr:from>
      <xdr:col>4</xdr:col>
      <xdr:colOff>304799</xdr:colOff>
      <xdr:row>1</xdr:row>
      <xdr:rowOff>171450</xdr:rowOff>
    </xdr:from>
    <xdr:to>
      <xdr:col>8</xdr:col>
      <xdr:colOff>134399</xdr:colOff>
      <xdr:row>7</xdr:row>
      <xdr:rowOff>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114674" y="361950"/>
          <a:ext cx="2515650" cy="9720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>
              <a:ln>
                <a:solidFill>
                  <a:schemeClr val="tx2"/>
                </a:solidFill>
              </a:ln>
              <a:solidFill>
                <a:schemeClr val="tx2"/>
              </a:solidFill>
            </a:rPr>
            <a:t>TOTAL  PRODUCTION</a:t>
          </a:r>
        </a:p>
        <a:p>
          <a:pPr algn="ctr"/>
          <a:r>
            <a:rPr lang="en-US" sz="1100"/>
            <a:t>3650</a:t>
          </a:r>
        </a:p>
        <a:p>
          <a:pPr algn="ctr"/>
          <a:r>
            <a:rPr lang="en-US" sz="1100"/>
            <a:t> </a:t>
          </a:r>
        </a:p>
      </xdr:txBody>
    </xdr:sp>
    <xdr:clientData/>
  </xdr:twoCellAnchor>
  <xdr:twoCellAnchor>
    <xdr:from>
      <xdr:col>8</xdr:col>
      <xdr:colOff>276223</xdr:colOff>
      <xdr:row>1</xdr:row>
      <xdr:rowOff>180975</xdr:rowOff>
    </xdr:from>
    <xdr:to>
      <xdr:col>12</xdr:col>
      <xdr:colOff>105823</xdr:colOff>
      <xdr:row>7</xdr:row>
      <xdr:rowOff>9975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772148" y="371475"/>
          <a:ext cx="2639475" cy="9720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>
              <a:ln>
                <a:solidFill>
                  <a:schemeClr val="tx2"/>
                </a:solidFill>
              </a:ln>
              <a:solidFill>
                <a:schemeClr val="tx2"/>
              </a:solidFill>
            </a:rPr>
            <a:t>UNPLANNED</a:t>
          </a:r>
          <a:r>
            <a:rPr lang="en-US" sz="1100" baseline="0">
              <a:ln>
                <a:solidFill>
                  <a:schemeClr val="tx2"/>
                </a:solidFill>
              </a:ln>
              <a:solidFill>
                <a:schemeClr val="tx2"/>
              </a:solidFill>
            </a:rPr>
            <a:t> DOWN TIME</a:t>
          </a:r>
        </a:p>
        <a:p>
          <a:pPr algn="ctr"/>
          <a:r>
            <a:rPr lang="en-US" sz="1100" baseline="0"/>
            <a:t>425</a:t>
          </a:r>
        </a:p>
        <a:p>
          <a:pPr algn="ctr"/>
          <a:endParaRPr lang="en-US" sz="1100"/>
        </a:p>
      </xdr:txBody>
    </xdr:sp>
    <xdr:clientData/>
  </xdr:twoCellAnchor>
  <xdr:twoCellAnchor>
    <xdr:from>
      <xdr:col>12</xdr:col>
      <xdr:colOff>285750</xdr:colOff>
      <xdr:row>1</xdr:row>
      <xdr:rowOff>180974</xdr:rowOff>
    </xdr:from>
    <xdr:to>
      <xdr:col>16</xdr:col>
      <xdr:colOff>115350</xdr:colOff>
      <xdr:row>7</xdr:row>
      <xdr:rowOff>9974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591550" y="371474"/>
          <a:ext cx="2391825" cy="9720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>
              <a:ln>
                <a:solidFill>
                  <a:schemeClr val="tx2"/>
                </a:solidFill>
              </a:ln>
              <a:solidFill>
                <a:schemeClr val="tx2"/>
              </a:solidFill>
            </a:rPr>
            <a:t>PLANNED</a:t>
          </a:r>
          <a:r>
            <a:rPr lang="en-US" sz="1100" baseline="0">
              <a:ln>
                <a:solidFill>
                  <a:schemeClr val="tx2"/>
                </a:solidFill>
              </a:ln>
              <a:solidFill>
                <a:schemeClr val="tx2"/>
              </a:solidFill>
            </a:rPr>
            <a:t> DOWN TIME</a:t>
          </a:r>
        </a:p>
        <a:p>
          <a:pPr algn="ctr"/>
          <a:r>
            <a:rPr lang="en-US" sz="1100" baseline="0"/>
            <a:t>170</a:t>
          </a: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87630</xdr:colOff>
      <xdr:row>9</xdr:row>
      <xdr:rowOff>19050</xdr:rowOff>
    </xdr:from>
    <xdr:to>
      <xdr:col>7</xdr:col>
      <xdr:colOff>601980</xdr:colOff>
      <xdr:row>21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7</xdr:row>
      <xdr:rowOff>57150</xdr:rowOff>
    </xdr:from>
    <xdr:to>
      <xdr:col>16</xdr:col>
      <xdr:colOff>228601</xdr:colOff>
      <xdr:row>8</xdr:row>
      <xdr:rowOff>209550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8101" y="1390650"/>
          <a:ext cx="11058525" cy="3429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 b="1">
              <a:ln>
                <a:solidFill>
                  <a:schemeClr val="accent2">
                    <a:lumMod val="75000"/>
                  </a:schemeClr>
                </a:solidFill>
              </a:ln>
              <a:solidFill>
                <a:schemeClr val="tx2">
                  <a:lumMod val="75000"/>
                </a:schemeClr>
              </a:solidFill>
            </a:rPr>
            <a:t>PERFORMANCE AND DOWN TIME ANALYSIS</a:t>
          </a:r>
          <a:r>
            <a:rPr lang="en-US" sz="1600" b="1">
              <a:ln>
                <a:solidFill>
                  <a:schemeClr val="tx2">
                    <a:lumMod val="20000"/>
                    <a:lumOff val="80000"/>
                  </a:schemeClr>
                </a:solidFill>
              </a:ln>
              <a:solidFill>
                <a:schemeClr val="tx2">
                  <a:lumMod val="75000"/>
                </a:schemeClr>
              </a:solidFill>
            </a:rPr>
            <a:t> </a:t>
          </a:r>
          <a:endParaRPr lang="en-US" sz="1100" b="1">
            <a:ln>
              <a:solidFill>
                <a:schemeClr val="tx2">
                  <a:lumMod val="20000"/>
                  <a:lumOff val="80000"/>
                </a:schemeClr>
              </a:solidFill>
            </a:ln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38101</xdr:colOff>
      <xdr:row>0</xdr:row>
      <xdr:rowOff>47625</xdr:rowOff>
    </xdr:from>
    <xdr:to>
      <xdr:col>16</xdr:col>
      <xdr:colOff>190500</xdr:colOff>
      <xdr:row>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8101" y="47625"/>
          <a:ext cx="11020424" cy="25717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 b="1">
              <a:ln>
                <a:solidFill>
                  <a:schemeClr val="accent2">
                    <a:lumMod val="75000"/>
                  </a:schemeClr>
                </a:solidFill>
              </a:ln>
              <a:solidFill>
                <a:schemeClr val="bg2">
                  <a:lumMod val="25000"/>
                </a:schemeClr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a:rPr>
            <a:t>KPI CHARTS</a:t>
          </a:r>
          <a:endParaRPr lang="en-US" sz="1100" b="1">
            <a:ln>
              <a:solidFill>
                <a:schemeClr val="accent2">
                  <a:lumMod val="75000"/>
                </a:schemeClr>
              </a:solidFill>
            </a:ln>
            <a:solidFill>
              <a:schemeClr val="bg2">
                <a:lumMod val="25000"/>
              </a:schemeClr>
            </a:solidFill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a:endParaRPr>
        </a:p>
      </xdr:txBody>
    </xdr:sp>
    <xdr:clientData/>
  </xdr:twoCellAnchor>
  <xdr:twoCellAnchor>
    <xdr:from>
      <xdr:col>8</xdr:col>
      <xdr:colOff>409575</xdr:colOff>
      <xdr:row>9</xdr:row>
      <xdr:rowOff>19050</xdr:rowOff>
    </xdr:from>
    <xdr:to>
      <xdr:col>16</xdr:col>
      <xdr:colOff>104775</xdr:colOff>
      <xdr:row>21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523875</xdr:colOff>
      <xdr:row>12</xdr:row>
      <xdr:rowOff>57150</xdr:rowOff>
    </xdr:from>
    <xdr:to>
      <xdr:col>19</xdr:col>
      <xdr:colOff>485775</xdr:colOff>
      <xdr:row>26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12</xdr:row>
      <xdr:rowOff>9525</xdr:rowOff>
    </xdr:from>
    <xdr:to>
      <xdr:col>8</xdr:col>
      <xdr:colOff>38100</xdr:colOff>
      <xdr:row>26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5.971764004629" createdVersion="3" refreshedVersion="3" minRefreshableVersion="3" recordCount="10" xr:uid="{00000000-000A-0000-FFFF-FFFF00000000}">
  <cacheSource type="worksheet">
    <worksheetSource name="Table10[#All]"/>
  </cacheSource>
  <cacheFields count="17">
    <cacheField name="Date" numFmtId="16">
      <sharedItems containsSemiMixedTypes="0" containsNonDate="0" containsDate="1" containsString="0" minDate="2025-01-05T00:00:00" maxDate="2025-01-07T00:00:00"/>
    </cacheField>
    <cacheField name="Shift" numFmtId="0">
      <sharedItems/>
    </cacheField>
    <cacheField name="Operator" numFmtId="0">
      <sharedItems/>
    </cacheField>
    <cacheField name="Machine" numFmtId="0">
      <sharedItems count="5">
        <s v="CNC-1"/>
        <s v="CNC-2"/>
        <s v="CNC-3"/>
        <s v="CNC-4"/>
        <s v="VMC-1"/>
      </sharedItems>
    </cacheField>
    <cacheField name="Total Produced" numFmtId="0">
      <sharedItems containsSemiMixedTypes="0" containsString="0" containsNumber="1" containsInteger="1" minValue="300" maxValue="430"/>
    </cacheField>
    <cacheField name="Planned Down (mins)" numFmtId="0">
      <sharedItems containsSemiMixedTypes="0" containsString="0" containsNumber="1" containsInteger="1" minValue="10" maxValue="30"/>
    </cacheField>
    <cacheField name="Unplanned Down (mins)" numFmtId="0">
      <sharedItems containsSemiMixedTypes="0" containsString="0" containsNumber="1" containsInteger="1" minValue="20" maxValue="70"/>
    </cacheField>
    <cacheField name="Target" numFmtId="0">
      <sharedItems containsSemiMixedTypes="0" containsString="0" containsNumber="1" containsInteger="1" minValue="500" maxValue="500"/>
    </cacheField>
    <cacheField name="Major_Issue" numFmtId="0">
      <sharedItems/>
    </cacheField>
    <cacheField name="Acheivement" numFmtId="0">
      <sharedItems/>
    </cacheField>
    <cacheField name="Acheivement (%)" numFmtId="10">
      <sharedItems containsSemiMixedTypes="0" containsString="0" containsNumber="1" minValue="0.6" maxValue="0.86"/>
    </cacheField>
    <cacheField name="8 hrs(480 min)-Tt DT(595)" numFmtId="2">
      <sharedItems containsSemiMixedTypes="0" containsString="0" containsNumber="1" containsInteger="1" minValue="115" maxValue="115"/>
    </cacheField>
    <cacheField name="AVG Tt produced" numFmtId="2">
      <sharedItems containsSemiMixedTypes="0" containsString="0" containsNumber="1" containsInteger="1" minValue="365" maxValue="365"/>
    </cacheField>
    <cacheField name="Sum of planned DT " numFmtId="2">
      <sharedItems containsSemiMixedTypes="0" containsString="0" containsNumber="1" containsInteger="1" minValue="170" maxValue="170"/>
    </cacheField>
    <cacheField name="Sum of Unplanned DT" numFmtId="2">
      <sharedItems containsSemiMixedTypes="0" containsString="0" containsNumber="1" containsInteger="1" minValue="425" maxValue="425"/>
    </cacheField>
    <cacheField name="Achieved" numFmtId="2">
      <sharedItems containsSemiMixedTypes="0" containsString="0" containsNumber="1" containsInteger="1" minValue="0" maxValue="0"/>
    </cacheField>
    <cacheField name="Not achieved" numFmtId="2">
      <sharedItems containsSemiMixedTypes="0" containsString="0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5.988860532409" createdVersion="3" refreshedVersion="3" minRefreshableVersion="3" recordCount="10" xr:uid="{00000000-000A-0000-FFFF-FFFF01000000}">
  <cacheSource type="worksheet">
    <worksheetSource name="Table10[[#All],[Machine]:[Unplanned Down (mins)]]"/>
  </cacheSource>
  <cacheFields count="4">
    <cacheField name="Machine" numFmtId="0">
      <sharedItems count="5">
        <s v="CNC-1"/>
        <s v="CNC-2"/>
        <s v="CNC-3"/>
        <s v="CNC-4"/>
        <s v="VMC-1"/>
      </sharedItems>
    </cacheField>
    <cacheField name="Total Produced" numFmtId="0">
      <sharedItems containsSemiMixedTypes="0" containsString="0" containsNumber="1" containsInteger="1" minValue="300" maxValue="430"/>
    </cacheField>
    <cacheField name="Planned Down (mins)" numFmtId="0">
      <sharedItems containsSemiMixedTypes="0" containsString="0" containsNumber="1" containsInteger="1" minValue="10" maxValue="30"/>
    </cacheField>
    <cacheField name="Unplanned Down (mins)" numFmtId="0">
      <sharedItems containsSemiMixedTypes="0" containsString="0" containsNumber="1" containsInteger="1" minValue="2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d v="2025-01-05T00:00:00"/>
    <s v="A"/>
    <s v="Rajesh"/>
    <x v="0"/>
    <n v="410"/>
    <n v="15"/>
    <n v="20"/>
    <n v="500"/>
    <s v="Tool wear"/>
    <s v="Not achieved"/>
    <n v="0.82"/>
    <n v="115"/>
    <n v="365"/>
    <n v="170"/>
    <n v="425"/>
    <n v="0"/>
    <n v="10"/>
  </r>
  <r>
    <d v="2025-01-05T00:00:00"/>
    <s v="A"/>
    <s v="Manoj"/>
    <x v="1"/>
    <n v="430"/>
    <n v="10"/>
    <n v="25"/>
    <n v="500"/>
    <s v="Alignment issue"/>
    <s v="Not achieved"/>
    <n v="0.86"/>
    <n v="115"/>
    <n v="365"/>
    <n v="170"/>
    <n v="425"/>
    <n v="0"/>
    <n v="10"/>
  </r>
  <r>
    <d v="2025-01-05T00:00:00"/>
    <s v="B"/>
    <s v="Siva"/>
    <x v="2"/>
    <n v="350"/>
    <n v="20"/>
    <n v="60"/>
    <n v="500"/>
    <s v="Spindle overheating"/>
    <s v="Not achieved"/>
    <n v="0.7"/>
    <n v="115"/>
    <n v="365"/>
    <n v="170"/>
    <n v="425"/>
    <n v="0"/>
    <n v="10"/>
  </r>
  <r>
    <d v="2025-01-05T00:00:00"/>
    <s v="B"/>
    <s v="Karan"/>
    <x v="3"/>
    <n v="340"/>
    <n v="15"/>
    <n v="70"/>
    <n v="500"/>
    <s v="Tool breakage"/>
    <s v="Not achieved"/>
    <n v="0.68"/>
    <n v="115"/>
    <n v="365"/>
    <n v="170"/>
    <n v="425"/>
    <n v="0"/>
    <n v="10"/>
  </r>
  <r>
    <d v="2025-01-05T00:00:00"/>
    <s v="C"/>
    <s v="John"/>
    <x v="4"/>
    <n v="300"/>
    <n v="30"/>
    <n v="40"/>
    <n v="500"/>
    <s v="Coolant issue"/>
    <s v="Not achieved"/>
    <n v="0.6"/>
    <n v="115"/>
    <n v="365"/>
    <n v="170"/>
    <n v="425"/>
    <n v="0"/>
    <n v="10"/>
  </r>
  <r>
    <d v="2025-01-06T00:00:00"/>
    <s v="A"/>
    <s v="Rajesh"/>
    <x v="0"/>
    <n v="400"/>
    <n v="10"/>
    <n v="22"/>
    <n v="500"/>
    <s v="Tool wear"/>
    <s v="Not achieved"/>
    <n v="0.8"/>
    <n v="115"/>
    <n v="365"/>
    <n v="170"/>
    <n v="425"/>
    <n v="0"/>
    <n v="10"/>
  </r>
  <r>
    <d v="2025-01-06T00:00:00"/>
    <s v="C"/>
    <s v="Manoj"/>
    <x v="1"/>
    <n v="420"/>
    <n v="15"/>
    <n v="20"/>
    <n v="500"/>
    <s v="Alignment issue"/>
    <s v="Not achieved"/>
    <n v="0.84"/>
    <n v="115"/>
    <n v="365"/>
    <n v="170"/>
    <n v="425"/>
    <n v="0"/>
    <n v="10"/>
  </r>
  <r>
    <d v="2025-01-06T00:00:00"/>
    <s v="A"/>
    <s v="Siva"/>
    <x v="2"/>
    <n v="360"/>
    <n v="18"/>
    <n v="55"/>
    <n v="500"/>
    <s v="Spindle overheating"/>
    <s v="Not achieved"/>
    <n v="0.72"/>
    <n v="115"/>
    <n v="365"/>
    <n v="170"/>
    <n v="425"/>
    <n v="0"/>
    <n v="10"/>
  </r>
  <r>
    <d v="2025-01-06T00:00:00"/>
    <s v="C"/>
    <s v="Karan"/>
    <x v="3"/>
    <n v="330"/>
    <n v="12"/>
    <n v="68"/>
    <n v="500"/>
    <s v="Tool breakage"/>
    <s v="Not achieved"/>
    <n v="0.66"/>
    <n v="115"/>
    <n v="365"/>
    <n v="170"/>
    <n v="425"/>
    <n v="0"/>
    <n v="10"/>
  </r>
  <r>
    <d v="2025-01-06T00:00:00"/>
    <s v="B"/>
    <s v="John"/>
    <x v="4"/>
    <n v="310"/>
    <n v="25"/>
    <n v="45"/>
    <n v="500"/>
    <s v="Coolant issue"/>
    <s v="Not achieved"/>
    <n v="0.62"/>
    <n v="115"/>
    <n v="365"/>
    <n v="170"/>
    <n v="425"/>
    <n v="0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n v="410"/>
    <n v="15"/>
    <n v="20"/>
  </r>
  <r>
    <x v="1"/>
    <n v="430"/>
    <n v="10"/>
    <n v="25"/>
  </r>
  <r>
    <x v="2"/>
    <n v="350"/>
    <n v="20"/>
    <n v="60"/>
  </r>
  <r>
    <x v="3"/>
    <n v="340"/>
    <n v="15"/>
    <n v="70"/>
  </r>
  <r>
    <x v="4"/>
    <n v="300"/>
    <n v="30"/>
    <n v="40"/>
  </r>
  <r>
    <x v="0"/>
    <n v="400"/>
    <n v="10"/>
    <n v="22"/>
  </r>
  <r>
    <x v="1"/>
    <n v="420"/>
    <n v="15"/>
    <n v="20"/>
  </r>
  <r>
    <x v="2"/>
    <n v="360"/>
    <n v="18"/>
    <n v="55"/>
  </r>
  <r>
    <x v="3"/>
    <n v="330"/>
    <n v="12"/>
    <n v="68"/>
  </r>
  <r>
    <x v="4"/>
    <n v="310"/>
    <n v="25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3">
  <location ref="J18:M25" firstHeaderRow="1" firstDataRow="2" firstDataCol="1"/>
  <pivotFields count="17">
    <pivotField numFmtId="16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hieved" fld="15" baseField="0" baseItem="0"/>
    <dataField name="Sum of Not achieved" fld="16" baseField="0" baseItem="0"/>
    <dataField name="Sum of Total Produced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7">
  <location ref="B14:D21" firstHeaderRow="1" firstDataRow="2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ned Down (mins)" fld="2" baseField="0" baseItem="0"/>
    <dataField name="Sum of Unplanned Down (mins)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B23:E29" totalsRowShown="0">
  <autoFilter ref="B23:E29" xr:uid="{00000000-0009-0000-0100-000007000000}"/>
  <tableColumns count="4">
    <tableColumn id="1" xr3:uid="{00000000-0010-0000-0400-000001000000}" name="MACHINES" dataDxfId="25"/>
    <tableColumn id="2" xr3:uid="{00000000-0010-0000-0400-000002000000}" name="Sum of achieved" dataDxfId="24"/>
    <tableColumn id="3" xr3:uid="{00000000-0010-0000-0400-000003000000}" name="Sum of not achieved" dataDxfId="23"/>
    <tableColumn id="4" xr3:uid="{00000000-0010-0000-0400-000004000000}" name="Sum of Tt produced" dataDxfId="22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9" displayName="Table9" ref="J23:L29" totalsRowShown="0">
  <autoFilter ref="J23:L29" xr:uid="{00000000-0009-0000-0100-000009000000}"/>
  <tableColumns count="3">
    <tableColumn id="1" xr3:uid="{00000000-0010-0000-0500-000001000000}" name="Machine"/>
    <tableColumn id="2" xr3:uid="{00000000-0010-0000-0500-000002000000}" name="sum of planned DT"/>
    <tableColumn id="3" xr3:uid="{00000000-0010-0000-0500-000003000000}" name="Column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1" totalsRowShown="0" headerRowDxfId="21" dataDxfId="20">
  <autoFilter ref="A1:I11" xr:uid="{00000000-0009-0000-0100-000002000000}"/>
  <tableColumns count="9">
    <tableColumn id="1" xr3:uid="{00000000-0010-0000-0000-000001000000}" name="Date" dataDxfId="19"/>
    <tableColumn id="2" xr3:uid="{00000000-0010-0000-0000-000002000000}" name="Machine" dataDxfId="18"/>
    <tableColumn id="3" xr3:uid="{00000000-0010-0000-0000-000003000000}" name="Operator" dataDxfId="17"/>
    <tableColumn id="4" xr3:uid="{00000000-0010-0000-0000-000004000000}" name="Shift" dataDxfId="16"/>
    <tableColumn id="5" xr3:uid="{00000000-0010-0000-0000-000005000000}" name="Planned_Down (mins)" dataDxfId="15"/>
    <tableColumn id="6" xr3:uid="{00000000-0010-0000-0000-000006000000}" name="Unplanned_Down (mins)" dataDxfId="14"/>
    <tableColumn id="7" xr3:uid="{00000000-0010-0000-0000-000007000000}" name="Total_Produced" dataDxfId="13"/>
    <tableColumn id="8" xr3:uid="{00000000-0010-0000-0000-000008000000}" name="Target" dataDxfId="12"/>
    <tableColumn id="9" xr3:uid="{00000000-0010-0000-0000-000009000000}" name="Major_Issue" dataDxfId="11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3:D23" totalsRowShown="0" headerRowDxfId="10">
  <autoFilter ref="A13:D23" xr:uid="{00000000-0009-0000-0100-000004000000}"/>
  <tableColumns count="4">
    <tableColumn id="1" xr3:uid="{00000000-0010-0000-0100-000001000000}" name="8 hrs(480 min)-Tt down time(595)"/>
    <tableColumn id="2" xr3:uid="{00000000-0010-0000-0100-000002000000}" name="Production loss">
      <calculatedColumnFormula>H2-G2</calculatedColumnFormula>
    </tableColumn>
    <tableColumn id="3" xr3:uid="{00000000-0010-0000-0100-000003000000}" name="Achievement" dataDxfId="9">
      <calculatedColumnFormula>G2/H2</calculatedColumnFormula>
    </tableColumn>
    <tableColumn id="4" xr3:uid="{00000000-0010-0000-0100-000004000000}" name="machine efficiency">
      <calculatedColumnFormula>G2/A14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E14:H20" totalsRowShown="0">
  <autoFilter ref="E14:H20" xr:uid="{00000000-0009-0000-0100-000008000000}"/>
  <tableColumns count="4">
    <tableColumn id="1" xr3:uid="{00000000-0010-0000-0200-000001000000}" name="TABLE" dataDxfId="8"/>
    <tableColumn id="2" xr3:uid="{00000000-0010-0000-0200-000002000000}" name="VALUES"/>
    <tableColumn id="3" xr3:uid="{00000000-0010-0000-0200-000003000000}" name="MACHINES" dataDxfId="7"/>
    <tableColumn id="4" xr3:uid="{00000000-0010-0000-0200-000004000000}" name="Column1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1:Q11" totalsRowShown="0">
  <autoFilter ref="A1:Q11" xr:uid="{00000000-0009-0000-0100-00000A000000}"/>
  <tableColumns count="17">
    <tableColumn id="1" xr3:uid="{00000000-0010-0000-0300-000001000000}" name="Date"/>
    <tableColumn id="2" xr3:uid="{00000000-0010-0000-0300-000002000000}" name="Shift"/>
    <tableColumn id="3" xr3:uid="{00000000-0010-0000-0300-000003000000}" name="Operator"/>
    <tableColumn id="4" xr3:uid="{00000000-0010-0000-0300-000004000000}" name="Machine"/>
    <tableColumn id="5" xr3:uid="{00000000-0010-0000-0300-000005000000}" name="Total Produced"/>
    <tableColumn id="6" xr3:uid="{00000000-0010-0000-0300-000006000000}" name="Planned Down (mins)"/>
    <tableColumn id="7" xr3:uid="{00000000-0010-0000-0300-000007000000}" name="Unplanned Down (mins)"/>
    <tableColumn id="8" xr3:uid="{00000000-0010-0000-0300-000008000000}" name="Target"/>
    <tableColumn id="9" xr3:uid="{00000000-0010-0000-0300-000009000000}" name="Major_Issue"/>
    <tableColumn id="10" xr3:uid="{00000000-0010-0000-0300-00000A000000}" name="Acheivement"/>
    <tableColumn id="11" xr3:uid="{00000000-0010-0000-0300-00000B000000}" name="Acheivement (%)" dataDxfId="6"/>
    <tableColumn id="13" xr3:uid="{00000000-0010-0000-0300-00000D000000}" name="8 hrs(480 min)-Tt DT(595)" dataDxfId="5"/>
    <tableColumn id="19" xr3:uid="{00000000-0010-0000-0300-000013000000}" name="AVG Tt produced" dataDxfId="4">
      <calculatedColumnFormula>AVERAGE(Table10[Total Produced])</calculatedColumnFormula>
    </tableColumn>
    <tableColumn id="15" xr3:uid="{00000000-0010-0000-0300-00000F000000}" name="Sum of planned DT " dataDxfId="3">
      <calculatedColumnFormula>SUM(Table10[Planned Down (mins)])</calculatedColumnFormula>
    </tableColumn>
    <tableColumn id="16" xr3:uid="{00000000-0010-0000-0300-000010000000}" name="Sum of Unplanned DT" dataDxfId="2">
      <calculatedColumnFormula>SUM(Table10[Unplanned Down (mins)])</calculatedColumnFormula>
    </tableColumn>
    <tableColumn id="20" xr3:uid="{00000000-0010-0000-0300-000014000000}" name="Achieved" dataDxfId="1">
      <calculatedColumnFormula>COUNTIF(Table10[[#All],[Acheivement]],"achieved")</calculatedColumnFormula>
    </tableColumn>
    <tableColumn id="17" xr3:uid="{00000000-0010-0000-0300-000011000000}" name="Not achieved" dataDxfId="0">
      <calculatedColumnFormula>COUNTIF(Table10[Acheivement],Table10[[#This Row],[Acheivement]])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9:M29"/>
  <sheetViews>
    <sheetView tabSelected="1" topLeftCell="B1" workbookViewId="0">
      <selection activeCell="O26" sqref="O26"/>
    </sheetView>
  </sheetViews>
  <sheetFormatPr defaultRowHeight="14.4" x14ac:dyDescent="0.3"/>
  <cols>
    <col min="2" max="6" width="11" customWidth="1"/>
    <col min="10" max="13" width="11" customWidth="1"/>
  </cols>
  <sheetData>
    <row r="9" spans="2:13" ht="18.75" customHeight="1" x14ac:dyDescent="0.3"/>
    <row r="10" spans="2:13" ht="45" customHeight="1" x14ac:dyDescent="0.3">
      <c r="B10" s="27"/>
      <c r="C10" s="30"/>
      <c r="D10" s="30"/>
      <c r="E10" s="30"/>
      <c r="J10" s="27"/>
      <c r="K10" s="30"/>
      <c r="L10" s="30"/>
      <c r="M10" s="30"/>
    </row>
    <row r="11" spans="2:13" x14ac:dyDescent="0.3">
      <c r="B11" s="24"/>
      <c r="J11" s="24"/>
    </row>
    <row r="12" spans="2:13" x14ac:dyDescent="0.3">
      <c r="B12" s="24"/>
      <c r="J12" s="24"/>
    </row>
    <row r="13" spans="2:13" x14ac:dyDescent="0.3">
      <c r="B13" s="24"/>
      <c r="J13" s="24"/>
    </row>
    <row r="14" spans="2:13" x14ac:dyDescent="0.3">
      <c r="B14" s="24"/>
      <c r="J14" s="24"/>
    </row>
    <row r="15" spans="2:13" x14ac:dyDescent="0.3">
      <c r="B15" s="24"/>
      <c r="J15" s="24"/>
    </row>
    <row r="16" spans="2:13" x14ac:dyDescent="0.3">
      <c r="B16" s="28"/>
      <c r="C16" s="29"/>
      <c r="D16" s="29"/>
      <c r="E16" s="29"/>
      <c r="J16" s="28"/>
      <c r="K16" s="29"/>
      <c r="L16" s="29"/>
      <c r="M16" s="29"/>
    </row>
    <row r="23" spans="2:12" ht="19.5" customHeight="1" x14ac:dyDescent="0.3">
      <c r="B23" t="s">
        <v>40</v>
      </c>
      <c r="C23" t="s">
        <v>65</v>
      </c>
      <c r="D23" t="s">
        <v>66</v>
      </c>
      <c r="E23" t="s">
        <v>67</v>
      </c>
      <c r="J23" t="s">
        <v>1</v>
      </c>
      <c r="K23" t="s">
        <v>68</v>
      </c>
      <c r="L23" t="s">
        <v>64</v>
      </c>
    </row>
    <row r="24" spans="2:12" ht="17.25" customHeight="1" x14ac:dyDescent="0.3">
      <c r="B24" s="24" t="s">
        <v>9</v>
      </c>
      <c r="C24">
        <v>0</v>
      </c>
      <c r="D24">
        <v>20</v>
      </c>
      <c r="E24">
        <v>810</v>
      </c>
      <c r="J24" s="24" t="s">
        <v>9</v>
      </c>
      <c r="K24">
        <v>25</v>
      </c>
      <c r="L24">
        <v>42</v>
      </c>
    </row>
    <row r="25" spans="2:12" x14ac:dyDescent="0.3">
      <c r="B25" s="24" t="s">
        <v>13</v>
      </c>
      <c r="C25">
        <v>0</v>
      </c>
      <c r="D25">
        <v>20</v>
      </c>
      <c r="E25">
        <v>850</v>
      </c>
      <c r="J25" s="24" t="s">
        <v>13</v>
      </c>
      <c r="K25">
        <v>25</v>
      </c>
      <c r="L25">
        <v>45</v>
      </c>
    </row>
    <row r="26" spans="2:12" x14ac:dyDescent="0.3">
      <c r="B26" s="24" t="s">
        <v>16</v>
      </c>
      <c r="C26">
        <v>0</v>
      </c>
      <c r="D26">
        <v>20</v>
      </c>
      <c r="E26">
        <v>710</v>
      </c>
      <c r="J26" s="24" t="s">
        <v>16</v>
      </c>
      <c r="K26">
        <v>38</v>
      </c>
      <c r="L26">
        <v>115</v>
      </c>
    </row>
    <row r="27" spans="2:12" x14ac:dyDescent="0.3">
      <c r="B27" s="24" t="s">
        <v>20</v>
      </c>
      <c r="C27">
        <v>0</v>
      </c>
      <c r="D27">
        <v>20</v>
      </c>
      <c r="E27">
        <v>670</v>
      </c>
      <c r="J27" s="24" t="s">
        <v>20</v>
      </c>
      <c r="K27">
        <v>27</v>
      </c>
      <c r="L27">
        <v>138</v>
      </c>
    </row>
    <row r="28" spans="2:12" x14ac:dyDescent="0.3">
      <c r="B28" s="24" t="s">
        <v>23</v>
      </c>
      <c r="C28">
        <v>0</v>
      </c>
      <c r="D28">
        <v>20</v>
      </c>
      <c r="E28">
        <v>610</v>
      </c>
      <c r="J28" s="24" t="s">
        <v>23</v>
      </c>
      <c r="K28">
        <v>55</v>
      </c>
      <c r="L28">
        <v>85</v>
      </c>
    </row>
    <row r="29" spans="2:12" x14ac:dyDescent="0.3">
      <c r="B29" s="24" t="s">
        <v>52</v>
      </c>
      <c r="C29">
        <v>0</v>
      </c>
      <c r="D29">
        <v>100</v>
      </c>
      <c r="E29">
        <v>3650</v>
      </c>
      <c r="J29" s="24" t="s">
        <v>52</v>
      </c>
      <c r="K29">
        <v>170</v>
      </c>
      <c r="L29">
        <v>425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D1" workbookViewId="0">
      <selection activeCell="J24" sqref="J24"/>
    </sheetView>
  </sheetViews>
  <sheetFormatPr defaultRowHeight="14.4" x14ac:dyDescent="0.3"/>
  <cols>
    <col min="1" max="1" width="16.33203125" customWidth="1"/>
    <col min="2" max="2" width="16.6640625" customWidth="1"/>
    <col min="3" max="3" width="15" customWidth="1"/>
    <col min="4" max="4" width="19.88671875" customWidth="1"/>
    <col min="5" max="5" width="22.6640625" customWidth="1"/>
    <col min="6" max="6" width="25.33203125" customWidth="1"/>
    <col min="7" max="7" width="17" customWidth="1"/>
    <col min="8" max="8" width="13.44140625" customWidth="1"/>
    <col min="9" max="9" width="1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45662</v>
      </c>
      <c r="B2" s="3" t="s">
        <v>9</v>
      </c>
      <c r="C2" s="3" t="s">
        <v>10</v>
      </c>
      <c r="D2" s="3" t="s">
        <v>11</v>
      </c>
      <c r="E2" s="3">
        <v>15</v>
      </c>
      <c r="F2" s="3">
        <v>20</v>
      </c>
      <c r="G2" s="3">
        <v>410</v>
      </c>
      <c r="H2" s="3">
        <v>500</v>
      </c>
      <c r="I2" t="s">
        <v>12</v>
      </c>
    </row>
    <row r="3" spans="1:11" x14ac:dyDescent="0.3">
      <c r="A3" s="2">
        <v>45662</v>
      </c>
      <c r="B3" s="3" t="s">
        <v>13</v>
      </c>
      <c r="C3" s="3" t="s">
        <v>14</v>
      </c>
      <c r="D3" s="3" t="s">
        <v>11</v>
      </c>
      <c r="E3" s="3">
        <v>10</v>
      </c>
      <c r="F3" s="3">
        <v>25</v>
      </c>
      <c r="G3" s="3">
        <v>430</v>
      </c>
      <c r="H3" s="3">
        <v>500</v>
      </c>
      <c r="I3" t="s">
        <v>15</v>
      </c>
    </row>
    <row r="4" spans="1:11" x14ac:dyDescent="0.3">
      <c r="A4" s="2">
        <v>45662</v>
      </c>
      <c r="B4" s="3" t="s">
        <v>16</v>
      </c>
      <c r="C4" s="3" t="s">
        <v>17</v>
      </c>
      <c r="D4" s="3" t="s">
        <v>18</v>
      </c>
      <c r="E4" s="3">
        <v>20</v>
      </c>
      <c r="F4" s="3">
        <v>60</v>
      </c>
      <c r="G4" s="3">
        <v>350</v>
      </c>
      <c r="H4" s="3">
        <v>500</v>
      </c>
      <c r="I4" t="s">
        <v>19</v>
      </c>
    </row>
    <row r="5" spans="1:11" x14ac:dyDescent="0.3">
      <c r="A5" s="2">
        <v>45662</v>
      </c>
      <c r="B5" s="3" t="s">
        <v>20</v>
      </c>
      <c r="C5" s="3" t="s">
        <v>21</v>
      </c>
      <c r="D5" s="3" t="s">
        <v>18</v>
      </c>
      <c r="E5" s="3">
        <v>15</v>
      </c>
      <c r="F5" s="3">
        <v>70</v>
      </c>
      <c r="G5" s="3">
        <v>340</v>
      </c>
      <c r="H5" s="3">
        <v>500</v>
      </c>
      <c r="I5" t="s">
        <v>22</v>
      </c>
    </row>
    <row r="6" spans="1:11" x14ac:dyDescent="0.3">
      <c r="A6" s="2">
        <v>45662</v>
      </c>
      <c r="B6" s="3" t="s">
        <v>23</v>
      </c>
      <c r="C6" s="3" t="s">
        <v>24</v>
      </c>
      <c r="D6" s="3" t="s">
        <v>25</v>
      </c>
      <c r="E6" s="3">
        <v>30</v>
      </c>
      <c r="F6" s="3">
        <v>40</v>
      </c>
      <c r="G6" s="3">
        <v>300</v>
      </c>
      <c r="H6" s="3">
        <v>500</v>
      </c>
      <c r="I6" t="s">
        <v>26</v>
      </c>
    </row>
    <row r="7" spans="1:11" x14ac:dyDescent="0.3">
      <c r="A7" s="2">
        <v>45663</v>
      </c>
      <c r="B7" s="3" t="s">
        <v>9</v>
      </c>
      <c r="C7" s="3" t="s">
        <v>10</v>
      </c>
      <c r="D7" s="3" t="s">
        <v>11</v>
      </c>
      <c r="E7" s="3">
        <v>10</v>
      </c>
      <c r="F7" s="3">
        <v>22</v>
      </c>
      <c r="G7" s="3">
        <v>400</v>
      </c>
      <c r="H7" s="3">
        <v>500</v>
      </c>
      <c r="I7" t="s">
        <v>12</v>
      </c>
    </row>
    <row r="8" spans="1:11" x14ac:dyDescent="0.3">
      <c r="A8" s="2">
        <v>45663</v>
      </c>
      <c r="B8" s="3" t="s">
        <v>13</v>
      </c>
      <c r="C8" s="3" t="s">
        <v>14</v>
      </c>
      <c r="D8" s="3" t="s">
        <v>25</v>
      </c>
      <c r="E8" s="3">
        <v>15</v>
      </c>
      <c r="F8" s="3">
        <v>20</v>
      </c>
      <c r="G8" s="3">
        <v>420</v>
      </c>
      <c r="H8" s="3">
        <v>500</v>
      </c>
      <c r="I8" t="s">
        <v>15</v>
      </c>
    </row>
    <row r="9" spans="1:11" x14ac:dyDescent="0.3">
      <c r="A9" s="2">
        <v>45663</v>
      </c>
      <c r="B9" s="3" t="s">
        <v>16</v>
      </c>
      <c r="C9" s="3" t="s">
        <v>17</v>
      </c>
      <c r="D9" s="3" t="s">
        <v>11</v>
      </c>
      <c r="E9" s="3">
        <v>18</v>
      </c>
      <c r="F9" s="3">
        <v>55</v>
      </c>
      <c r="G9" s="3">
        <v>360</v>
      </c>
      <c r="H9" s="3">
        <v>500</v>
      </c>
      <c r="I9" t="s">
        <v>19</v>
      </c>
    </row>
    <row r="10" spans="1:11" x14ac:dyDescent="0.3">
      <c r="A10" s="2">
        <v>45663</v>
      </c>
      <c r="B10" s="3" t="s">
        <v>20</v>
      </c>
      <c r="C10" s="3" t="s">
        <v>21</v>
      </c>
      <c r="D10" s="3" t="s">
        <v>25</v>
      </c>
      <c r="E10" s="3">
        <v>12</v>
      </c>
      <c r="F10" s="3">
        <v>68</v>
      </c>
      <c r="G10" s="3">
        <v>330</v>
      </c>
      <c r="H10" s="3">
        <v>500</v>
      </c>
      <c r="I10" t="s">
        <v>22</v>
      </c>
    </row>
    <row r="11" spans="1:11" x14ac:dyDescent="0.3">
      <c r="A11" s="2">
        <v>45663</v>
      </c>
      <c r="B11" s="3" t="s">
        <v>23</v>
      </c>
      <c r="C11" s="3" t="s">
        <v>24</v>
      </c>
      <c r="D11" s="3" t="s">
        <v>18</v>
      </c>
      <c r="E11" s="3">
        <v>25</v>
      </c>
      <c r="F11" s="3">
        <v>45</v>
      </c>
      <c r="G11" s="3">
        <v>310</v>
      </c>
      <c r="H11" s="3">
        <v>500</v>
      </c>
      <c r="I11" t="s">
        <v>26</v>
      </c>
    </row>
    <row r="12" spans="1:11" x14ac:dyDescent="0.3">
      <c r="A12" s="2"/>
      <c r="B12" s="3"/>
      <c r="C12" s="3"/>
      <c r="D12" s="3"/>
      <c r="E12" s="3"/>
      <c r="F12" s="3"/>
      <c r="G12" s="3"/>
      <c r="H12" s="3"/>
    </row>
    <row r="13" spans="1:11" ht="28.8" x14ac:dyDescent="0.3">
      <c r="A13" s="5" t="s">
        <v>30</v>
      </c>
      <c r="B13" s="5" t="s">
        <v>27</v>
      </c>
      <c r="C13" s="5" t="s">
        <v>28</v>
      </c>
      <c r="D13" s="5" t="s">
        <v>29</v>
      </c>
      <c r="E13" s="5"/>
      <c r="F13" s="3"/>
      <c r="G13" s="5"/>
      <c r="H13" s="3"/>
      <c r="I13" s="3"/>
    </row>
    <row r="14" spans="1:11" x14ac:dyDescent="0.3">
      <c r="A14">
        <v>115</v>
      </c>
      <c r="B14">
        <f>H2-G2</f>
        <v>90</v>
      </c>
      <c r="C14" s="4">
        <f>G2/H2</f>
        <v>0.82</v>
      </c>
      <c r="D14">
        <f t="shared" ref="D14:D23" si="0">G2/A14</f>
        <v>3.5652173913043477</v>
      </c>
      <c r="E14" s="6" t="s">
        <v>44</v>
      </c>
      <c r="F14" t="s">
        <v>43</v>
      </c>
      <c r="G14" s="5" t="s">
        <v>40</v>
      </c>
      <c r="H14" t="s">
        <v>69</v>
      </c>
      <c r="I14" s="6"/>
      <c r="K14" s="5"/>
    </row>
    <row r="15" spans="1:11" ht="28.8" x14ac:dyDescent="0.3">
      <c r="A15">
        <v>115</v>
      </c>
      <c r="B15">
        <f t="shared" ref="B15:B23" si="1">H3-G3</f>
        <v>70</v>
      </c>
      <c r="C15" s="4">
        <f t="shared" ref="C15:C23" si="2">G3/H3</f>
        <v>0.86</v>
      </c>
      <c r="D15">
        <f t="shared" si="0"/>
        <v>3.7391304347826089</v>
      </c>
      <c r="E15" s="6" t="s">
        <v>32</v>
      </c>
      <c r="F15">
        <f>MIN(G2:G11)</f>
        <v>300</v>
      </c>
      <c r="G15" s="5" t="s">
        <v>33</v>
      </c>
      <c r="H15">
        <f>AVERAGEIF(B1:B2,"CNC-1",G2:G11)</f>
        <v>430</v>
      </c>
      <c r="I15" s="6"/>
      <c r="K15" s="5"/>
    </row>
    <row r="16" spans="1:11" ht="28.8" x14ac:dyDescent="0.3">
      <c r="A16">
        <v>115</v>
      </c>
      <c r="B16">
        <f t="shared" si="1"/>
        <v>150</v>
      </c>
      <c r="C16" s="4">
        <f t="shared" si="2"/>
        <v>0.7</v>
      </c>
      <c r="D16">
        <f t="shared" si="0"/>
        <v>3.0434782608695654</v>
      </c>
      <c r="E16" s="5" t="s">
        <v>31</v>
      </c>
      <c r="F16" s="3">
        <f>MAX(G2:G11)</f>
        <v>430</v>
      </c>
      <c r="G16" s="5" t="s">
        <v>34</v>
      </c>
      <c r="H16">
        <f>AVERAGEIF(B2:B11,"CNC-2",G2:G11)</f>
        <v>425</v>
      </c>
      <c r="I16" s="5"/>
      <c r="J16" s="3"/>
      <c r="K16" s="5"/>
    </row>
    <row r="17" spans="1:11" ht="28.8" x14ac:dyDescent="0.3">
      <c r="A17">
        <v>115</v>
      </c>
      <c r="B17">
        <f t="shared" si="1"/>
        <v>160</v>
      </c>
      <c r="C17" s="4">
        <f t="shared" si="2"/>
        <v>0.68</v>
      </c>
      <c r="D17">
        <f t="shared" si="0"/>
        <v>2.9565217391304346</v>
      </c>
      <c r="E17" s="5" t="s">
        <v>38</v>
      </c>
      <c r="F17" s="3">
        <f>SUM(E2:E11)</f>
        <v>170</v>
      </c>
      <c r="G17" s="5" t="s">
        <v>35</v>
      </c>
      <c r="H17">
        <f>AVERAGEIF(B2:B11,"CNC-3",G2:G11)</f>
        <v>355</v>
      </c>
      <c r="I17" s="5"/>
      <c r="J17" s="3"/>
      <c r="K17" s="5"/>
    </row>
    <row r="18" spans="1:11" ht="32.25" customHeight="1" x14ac:dyDescent="0.3">
      <c r="A18">
        <v>115</v>
      </c>
      <c r="B18">
        <f t="shared" si="1"/>
        <v>200</v>
      </c>
      <c r="C18" s="4">
        <f t="shared" si="2"/>
        <v>0.6</v>
      </c>
      <c r="D18">
        <f t="shared" si="0"/>
        <v>2.6086956521739131</v>
      </c>
      <c r="E18" s="5" t="s">
        <v>39</v>
      </c>
      <c r="F18">
        <f>SUM(F2:F11)</f>
        <v>425</v>
      </c>
      <c r="G18" s="5" t="s">
        <v>36</v>
      </c>
      <c r="H18">
        <f>AVERAGEIF(B2:B11,"CNC-4",G2:G11)</f>
        <v>335</v>
      </c>
      <c r="I18" s="5"/>
      <c r="K18" s="5"/>
    </row>
    <row r="19" spans="1:11" ht="30.75" customHeight="1" x14ac:dyDescent="0.3">
      <c r="A19">
        <v>115</v>
      </c>
      <c r="B19">
        <f t="shared" si="1"/>
        <v>100</v>
      </c>
      <c r="C19" s="4">
        <f t="shared" si="2"/>
        <v>0.8</v>
      </c>
      <c r="D19">
        <f t="shared" si="0"/>
        <v>3.4782608695652173</v>
      </c>
      <c r="E19" s="5" t="s">
        <v>41</v>
      </c>
      <c r="F19">
        <f>AVERAGE(G2:G11)</f>
        <v>365</v>
      </c>
      <c r="G19" s="5" t="s">
        <v>37</v>
      </c>
      <c r="H19">
        <f>AVERAGEIF(B2:B11,"VMC-1",G2:G11)</f>
        <v>305</v>
      </c>
      <c r="I19" s="5"/>
      <c r="K19" s="5"/>
    </row>
    <row r="20" spans="1:11" ht="30" customHeight="1" x14ac:dyDescent="0.3">
      <c r="A20">
        <v>115</v>
      </c>
      <c r="B20">
        <f t="shared" si="1"/>
        <v>80</v>
      </c>
      <c r="C20" s="4">
        <f t="shared" si="2"/>
        <v>0.84</v>
      </c>
      <c r="D20">
        <f t="shared" si="0"/>
        <v>3.652173913043478</v>
      </c>
      <c r="E20" s="5" t="s">
        <v>42</v>
      </c>
      <c r="F20">
        <f>SUM(E2:F11)</f>
        <v>595</v>
      </c>
      <c r="I20" s="5"/>
    </row>
    <row r="21" spans="1:11" ht="24.75" customHeight="1" x14ac:dyDescent="0.3">
      <c r="A21">
        <v>115</v>
      </c>
      <c r="B21">
        <f t="shared" si="1"/>
        <v>140</v>
      </c>
      <c r="C21" s="4">
        <f t="shared" si="2"/>
        <v>0.72</v>
      </c>
      <c r="D21">
        <f t="shared" si="0"/>
        <v>3.1304347826086958</v>
      </c>
    </row>
    <row r="22" spans="1:11" ht="26.25" customHeight="1" x14ac:dyDescent="0.3">
      <c r="A22">
        <v>115</v>
      </c>
      <c r="B22">
        <f t="shared" si="1"/>
        <v>170</v>
      </c>
      <c r="C22" s="4">
        <f t="shared" si="2"/>
        <v>0.66</v>
      </c>
      <c r="D22">
        <f t="shared" si="0"/>
        <v>2.8695652173913042</v>
      </c>
    </row>
    <row r="23" spans="1:11" ht="29.25" customHeight="1" x14ac:dyDescent="0.3">
      <c r="A23">
        <v>115</v>
      </c>
      <c r="B23">
        <f t="shared" si="1"/>
        <v>190</v>
      </c>
      <c r="C23" s="4">
        <f t="shared" si="2"/>
        <v>0.62</v>
      </c>
      <c r="D23">
        <f t="shared" si="0"/>
        <v>2.6956521739130435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>
      <selection activeCell="E32" sqref="E32"/>
    </sheetView>
  </sheetViews>
  <sheetFormatPr defaultRowHeight="14.4" x14ac:dyDescent="0.3"/>
  <cols>
    <col min="2" max="2" width="13.109375" bestFit="1" customWidth="1"/>
    <col min="3" max="3" width="27.109375" customWidth="1"/>
    <col min="4" max="4" width="29.88671875" customWidth="1"/>
    <col min="5" max="5" width="16.44140625" customWidth="1"/>
    <col min="6" max="6" width="22.109375" customWidth="1"/>
    <col min="7" max="7" width="24.6640625" customWidth="1"/>
    <col min="8" max="8" width="11.33203125" customWidth="1"/>
    <col min="9" max="10" width="13.109375" customWidth="1"/>
    <col min="11" max="11" width="16" customWidth="1"/>
    <col min="12" max="12" width="19.5546875" customWidth="1"/>
    <col min="13" max="13" width="21.109375" customWidth="1"/>
    <col min="14" max="14" width="12.6640625" customWidth="1"/>
    <col min="15" max="16" width="12.44140625" customWidth="1"/>
    <col min="17" max="17" width="13.33203125" customWidth="1"/>
  </cols>
  <sheetData>
    <row r="1" spans="1:17" ht="43.8" thickBot="1" x14ac:dyDescent="0.35">
      <c r="A1" s="11" t="s">
        <v>0</v>
      </c>
      <c r="B1" s="7" t="s">
        <v>3</v>
      </c>
      <c r="C1" s="7" t="s">
        <v>2</v>
      </c>
      <c r="D1" s="7" t="s">
        <v>1</v>
      </c>
      <c r="E1" s="7" t="s">
        <v>45</v>
      </c>
      <c r="F1" s="7" t="s">
        <v>47</v>
      </c>
      <c r="G1" s="11" t="s">
        <v>46</v>
      </c>
      <c r="H1" s="7" t="s">
        <v>7</v>
      </c>
      <c r="I1" s="18" t="s">
        <v>8</v>
      </c>
      <c r="J1" s="22" t="s">
        <v>48</v>
      </c>
      <c r="K1" s="22" t="s">
        <v>49</v>
      </c>
      <c r="L1" s="25" t="s">
        <v>50</v>
      </c>
      <c r="M1" s="25" t="s">
        <v>57</v>
      </c>
      <c r="N1" s="25" t="s">
        <v>54</v>
      </c>
      <c r="O1" s="25" t="s">
        <v>55</v>
      </c>
      <c r="P1" s="25" t="s">
        <v>61</v>
      </c>
      <c r="Q1" s="25" t="s">
        <v>56</v>
      </c>
    </row>
    <row r="2" spans="1:17" ht="15" thickTop="1" x14ac:dyDescent="0.3">
      <c r="A2" s="15">
        <v>45662</v>
      </c>
      <c r="B2" s="8" t="s">
        <v>11</v>
      </c>
      <c r="C2" s="8" t="s">
        <v>10</v>
      </c>
      <c r="D2" s="8" t="s">
        <v>9</v>
      </c>
      <c r="E2" s="8">
        <v>410</v>
      </c>
      <c r="F2" s="8">
        <v>15</v>
      </c>
      <c r="G2" s="12">
        <v>20</v>
      </c>
      <c r="H2" s="8">
        <v>500</v>
      </c>
      <c r="I2" s="19" t="s">
        <v>12</v>
      </c>
      <c r="J2" t="str">
        <f>IF(E2&gt;=H2,"Achieved","Not achieved")</f>
        <v>Not achieved</v>
      </c>
      <c r="K2" s="4">
        <f>E2/H2</f>
        <v>0.82</v>
      </c>
      <c r="L2" s="26">
        <v>115</v>
      </c>
      <c r="M2" s="26">
        <f>AVERAGE(Table10[Total Produced])</f>
        <v>365</v>
      </c>
      <c r="N2" s="26">
        <f>SUM(Table10[Planned Down (mins)])</f>
        <v>170</v>
      </c>
      <c r="O2" s="26">
        <f>SUM(Table10[Unplanned Down (mins)])</f>
        <v>425</v>
      </c>
      <c r="P2" s="26">
        <f>COUNTIF(Table10[[#All],[Acheivement]],"achieved")</f>
        <v>0</v>
      </c>
      <c r="Q2" s="26">
        <f>COUNTIF(Table10[Acheivement],Table10[[#This Row],[Acheivement]])</f>
        <v>10</v>
      </c>
    </row>
    <row r="3" spans="1:17" x14ac:dyDescent="0.3">
      <c r="A3" s="16">
        <v>45662</v>
      </c>
      <c r="B3" s="9" t="s">
        <v>11</v>
      </c>
      <c r="C3" s="9" t="s">
        <v>14</v>
      </c>
      <c r="D3" s="9" t="s">
        <v>13</v>
      </c>
      <c r="E3" s="9">
        <v>430</v>
      </c>
      <c r="F3" s="9">
        <v>10</v>
      </c>
      <c r="G3" s="13">
        <v>25</v>
      </c>
      <c r="H3" s="9">
        <v>500</v>
      </c>
      <c r="I3" s="20" t="s">
        <v>15</v>
      </c>
      <c r="J3" t="str">
        <f t="shared" ref="J3:J11" si="0">IF(E3&gt;=H3,"Achieved","Not achieved")</f>
        <v>Not achieved</v>
      </c>
      <c r="K3" s="4">
        <f t="shared" ref="K3:K11" si="1">E3/H3</f>
        <v>0.86</v>
      </c>
      <c r="L3" s="26">
        <v>115</v>
      </c>
      <c r="M3" s="26">
        <f>AVERAGE(Table10[Total Produced])</f>
        <v>365</v>
      </c>
      <c r="N3" s="26">
        <f>SUM(Table10[Planned Down (mins)])</f>
        <v>170</v>
      </c>
      <c r="O3" s="26">
        <f>SUM(Table10[Unplanned Down (mins)])</f>
        <v>425</v>
      </c>
      <c r="P3" s="26">
        <f>COUNTIF(Table10[[#All],[Acheivement]],"achieved")</f>
        <v>0</v>
      </c>
      <c r="Q3" s="26">
        <f>COUNTIF(Table10[Acheivement],Table10[[#This Row],[Acheivement]])</f>
        <v>10</v>
      </c>
    </row>
    <row r="4" spans="1:17" x14ac:dyDescent="0.3">
      <c r="A4" s="15">
        <v>45662</v>
      </c>
      <c r="B4" s="8" t="s">
        <v>18</v>
      </c>
      <c r="C4" s="8" t="s">
        <v>17</v>
      </c>
      <c r="D4" s="8" t="s">
        <v>16</v>
      </c>
      <c r="E4" s="8">
        <v>350</v>
      </c>
      <c r="F4" s="8">
        <v>20</v>
      </c>
      <c r="G4" s="12">
        <v>60</v>
      </c>
      <c r="H4" s="8">
        <v>500</v>
      </c>
      <c r="I4" s="19" t="s">
        <v>19</v>
      </c>
      <c r="J4" t="str">
        <f t="shared" si="0"/>
        <v>Not achieved</v>
      </c>
      <c r="K4" s="4">
        <f t="shared" si="1"/>
        <v>0.7</v>
      </c>
      <c r="L4" s="26">
        <v>115</v>
      </c>
      <c r="M4" s="26">
        <f>AVERAGE(Table10[Total Produced])</f>
        <v>365</v>
      </c>
      <c r="N4" s="26">
        <f>SUM(Table10[Planned Down (mins)])</f>
        <v>170</v>
      </c>
      <c r="O4" s="26">
        <f>SUM(Table10[Unplanned Down (mins)])</f>
        <v>425</v>
      </c>
      <c r="P4" s="26">
        <f>COUNTIF(Table10[[#All],[Acheivement]],"achieved")</f>
        <v>0</v>
      </c>
      <c r="Q4" s="26">
        <f>COUNTIF(Table10[Acheivement],Table10[[#This Row],[Acheivement]])</f>
        <v>10</v>
      </c>
    </row>
    <row r="5" spans="1:17" x14ac:dyDescent="0.3">
      <c r="A5" s="16">
        <v>45662</v>
      </c>
      <c r="B5" s="9" t="s">
        <v>18</v>
      </c>
      <c r="C5" s="9" t="s">
        <v>21</v>
      </c>
      <c r="D5" s="9" t="s">
        <v>20</v>
      </c>
      <c r="E5" s="9">
        <v>340</v>
      </c>
      <c r="F5" s="9">
        <v>15</v>
      </c>
      <c r="G5" s="13">
        <v>70</v>
      </c>
      <c r="H5" s="9">
        <v>500</v>
      </c>
      <c r="I5" s="20" t="s">
        <v>22</v>
      </c>
      <c r="J5" t="str">
        <f t="shared" si="0"/>
        <v>Not achieved</v>
      </c>
      <c r="K5" s="4">
        <f t="shared" si="1"/>
        <v>0.68</v>
      </c>
      <c r="L5" s="26">
        <v>115</v>
      </c>
      <c r="M5" s="26">
        <f>AVERAGE(Table10[Total Produced])</f>
        <v>365</v>
      </c>
      <c r="N5" s="26">
        <f>SUM(Table10[Planned Down (mins)])</f>
        <v>170</v>
      </c>
      <c r="O5" s="26">
        <f>SUM(Table10[Unplanned Down (mins)])</f>
        <v>425</v>
      </c>
      <c r="P5" s="26">
        <f>COUNTIF(Table10[[#All],[Acheivement]],"achieved")</f>
        <v>0</v>
      </c>
      <c r="Q5" s="26">
        <f>COUNTIF(Table10[Acheivement],Table10[[#This Row],[Acheivement]])</f>
        <v>10</v>
      </c>
    </row>
    <row r="6" spans="1:17" x14ac:dyDescent="0.3">
      <c r="A6" s="15">
        <v>45662</v>
      </c>
      <c r="B6" s="8" t="s">
        <v>25</v>
      </c>
      <c r="C6" s="8" t="s">
        <v>24</v>
      </c>
      <c r="D6" s="8" t="s">
        <v>23</v>
      </c>
      <c r="E6" s="8">
        <v>300</v>
      </c>
      <c r="F6" s="8">
        <v>30</v>
      </c>
      <c r="G6" s="12">
        <v>40</v>
      </c>
      <c r="H6" s="8">
        <v>500</v>
      </c>
      <c r="I6" s="19" t="s">
        <v>26</v>
      </c>
      <c r="J6" t="str">
        <f t="shared" si="0"/>
        <v>Not achieved</v>
      </c>
      <c r="K6" s="4">
        <f t="shared" si="1"/>
        <v>0.6</v>
      </c>
      <c r="L6" s="26">
        <v>115</v>
      </c>
      <c r="M6" s="26">
        <f>AVERAGE(Table10[Total Produced])</f>
        <v>365</v>
      </c>
      <c r="N6" s="26">
        <f>SUM(Table10[Planned Down (mins)])</f>
        <v>170</v>
      </c>
      <c r="O6" s="26">
        <f>SUM(Table10[Unplanned Down (mins)])</f>
        <v>425</v>
      </c>
      <c r="P6" s="26">
        <f>COUNTIF(Table10[[#All],[Acheivement]],"achieved")</f>
        <v>0</v>
      </c>
      <c r="Q6" s="26">
        <f>COUNTIF(Table10[Acheivement],Table10[[#This Row],[Acheivement]])</f>
        <v>10</v>
      </c>
    </row>
    <row r="7" spans="1:17" x14ac:dyDescent="0.3">
      <c r="A7" s="16">
        <v>45663</v>
      </c>
      <c r="B7" s="9" t="s">
        <v>11</v>
      </c>
      <c r="C7" s="9" t="s">
        <v>10</v>
      </c>
      <c r="D7" s="9" t="s">
        <v>9</v>
      </c>
      <c r="E7" s="9">
        <v>400</v>
      </c>
      <c r="F7" s="9">
        <v>10</v>
      </c>
      <c r="G7" s="13">
        <v>22</v>
      </c>
      <c r="H7" s="9">
        <v>500</v>
      </c>
      <c r="I7" s="20" t="s">
        <v>12</v>
      </c>
      <c r="J7" t="str">
        <f t="shared" si="0"/>
        <v>Not achieved</v>
      </c>
      <c r="K7" s="4">
        <f t="shared" si="1"/>
        <v>0.8</v>
      </c>
      <c r="L7" s="26">
        <v>115</v>
      </c>
      <c r="M7" s="26">
        <f>AVERAGE(Table10[Total Produced])</f>
        <v>365</v>
      </c>
      <c r="N7" s="26">
        <f>SUM(Table10[Planned Down (mins)])</f>
        <v>170</v>
      </c>
      <c r="O7" s="26">
        <f>SUM(Table10[Unplanned Down (mins)])</f>
        <v>425</v>
      </c>
      <c r="P7" s="26">
        <f>COUNTIF(Table10[[#All],[Acheivement]],"achieved")</f>
        <v>0</v>
      </c>
      <c r="Q7" s="26">
        <f>COUNTIF(Table10[Acheivement],Table10[[#This Row],[Acheivement]])</f>
        <v>10</v>
      </c>
    </row>
    <row r="8" spans="1:17" x14ac:dyDescent="0.3">
      <c r="A8" s="15">
        <v>45663</v>
      </c>
      <c r="B8" s="8" t="s">
        <v>25</v>
      </c>
      <c r="C8" s="8" t="s">
        <v>14</v>
      </c>
      <c r="D8" s="8" t="s">
        <v>13</v>
      </c>
      <c r="E8" s="8">
        <v>420</v>
      </c>
      <c r="F8" s="8">
        <v>15</v>
      </c>
      <c r="G8" s="12">
        <v>20</v>
      </c>
      <c r="H8" s="8">
        <v>500</v>
      </c>
      <c r="I8" s="19" t="s">
        <v>15</v>
      </c>
      <c r="J8" t="str">
        <f t="shared" si="0"/>
        <v>Not achieved</v>
      </c>
      <c r="K8" s="4">
        <f t="shared" si="1"/>
        <v>0.84</v>
      </c>
      <c r="L8" s="26">
        <v>115</v>
      </c>
      <c r="M8" s="26">
        <f>AVERAGE(Table10[Total Produced])</f>
        <v>365</v>
      </c>
      <c r="N8" s="26">
        <f>SUM(Table10[Planned Down (mins)])</f>
        <v>170</v>
      </c>
      <c r="O8" s="26">
        <f>SUM(Table10[Unplanned Down (mins)])</f>
        <v>425</v>
      </c>
      <c r="P8" s="26">
        <f>COUNTIF(Table10[[#All],[Acheivement]],"achieved")</f>
        <v>0</v>
      </c>
      <c r="Q8" s="26">
        <f>COUNTIF(Table10[Acheivement],Table10[[#This Row],[Acheivement]])</f>
        <v>10</v>
      </c>
    </row>
    <row r="9" spans="1:17" x14ac:dyDescent="0.3">
      <c r="A9" s="16">
        <v>45663</v>
      </c>
      <c r="B9" s="9" t="s">
        <v>11</v>
      </c>
      <c r="C9" s="9" t="s">
        <v>17</v>
      </c>
      <c r="D9" s="9" t="s">
        <v>16</v>
      </c>
      <c r="E9" s="9">
        <v>360</v>
      </c>
      <c r="F9" s="9">
        <v>18</v>
      </c>
      <c r="G9" s="13">
        <v>55</v>
      </c>
      <c r="H9" s="9">
        <v>500</v>
      </c>
      <c r="I9" s="20" t="s">
        <v>19</v>
      </c>
      <c r="J9" t="str">
        <f t="shared" si="0"/>
        <v>Not achieved</v>
      </c>
      <c r="K9" s="4">
        <f t="shared" si="1"/>
        <v>0.72</v>
      </c>
      <c r="L9" s="26">
        <v>115</v>
      </c>
      <c r="M9" s="26">
        <f>AVERAGE(Table10[Total Produced])</f>
        <v>365</v>
      </c>
      <c r="N9" s="26">
        <f>SUM(Table10[Planned Down (mins)])</f>
        <v>170</v>
      </c>
      <c r="O9" s="26">
        <f>SUM(Table10[Unplanned Down (mins)])</f>
        <v>425</v>
      </c>
      <c r="P9" s="26">
        <f>COUNTIF(Table10[[#All],[Acheivement]],"achieved")</f>
        <v>0</v>
      </c>
      <c r="Q9" s="26">
        <f>COUNTIF(Table10[Acheivement],Table10[[#This Row],[Acheivement]])</f>
        <v>10</v>
      </c>
    </row>
    <row r="10" spans="1:17" x14ac:dyDescent="0.3">
      <c r="A10" s="15">
        <v>45663</v>
      </c>
      <c r="B10" s="8" t="s">
        <v>25</v>
      </c>
      <c r="C10" s="8" t="s">
        <v>21</v>
      </c>
      <c r="D10" s="8" t="s">
        <v>20</v>
      </c>
      <c r="E10" s="8">
        <v>330</v>
      </c>
      <c r="F10" s="8">
        <v>12</v>
      </c>
      <c r="G10" s="12">
        <v>68</v>
      </c>
      <c r="H10" s="8">
        <v>500</v>
      </c>
      <c r="I10" s="19" t="s">
        <v>22</v>
      </c>
      <c r="J10" t="str">
        <f t="shared" si="0"/>
        <v>Not achieved</v>
      </c>
      <c r="K10" s="4">
        <f t="shared" si="1"/>
        <v>0.66</v>
      </c>
      <c r="L10" s="26">
        <v>115</v>
      </c>
      <c r="M10" s="26">
        <f>AVERAGE(Table10[Total Produced])</f>
        <v>365</v>
      </c>
      <c r="N10" s="26">
        <f>SUM(Table10[Planned Down (mins)])</f>
        <v>170</v>
      </c>
      <c r="O10" s="26">
        <f>SUM(Table10[Unplanned Down (mins)])</f>
        <v>425</v>
      </c>
      <c r="P10" s="26">
        <f>COUNTIF(Table10[[#All],[Acheivement]],"achieved")</f>
        <v>0</v>
      </c>
      <c r="Q10" s="26">
        <f>COUNTIF(Table10[Acheivement],Table10[[#This Row],[Acheivement]])</f>
        <v>10</v>
      </c>
    </row>
    <row r="11" spans="1:17" x14ac:dyDescent="0.3">
      <c r="A11" s="17">
        <v>45663</v>
      </c>
      <c r="B11" s="10" t="s">
        <v>18</v>
      </c>
      <c r="C11" s="10" t="s">
        <v>24</v>
      </c>
      <c r="D11" s="10" t="s">
        <v>23</v>
      </c>
      <c r="E11" s="10">
        <v>310</v>
      </c>
      <c r="F11" s="10">
        <v>25</v>
      </c>
      <c r="G11" s="14">
        <v>45</v>
      </c>
      <c r="H11" s="10">
        <v>500</v>
      </c>
      <c r="I11" s="21" t="s">
        <v>26</v>
      </c>
      <c r="J11" t="str">
        <f t="shared" si="0"/>
        <v>Not achieved</v>
      </c>
      <c r="K11" s="4">
        <f t="shared" si="1"/>
        <v>0.62</v>
      </c>
      <c r="L11" s="26">
        <v>115</v>
      </c>
      <c r="M11" s="26">
        <f>AVERAGE(Table10[Total Produced])</f>
        <v>365</v>
      </c>
      <c r="N11" s="26">
        <f>SUM(Table10[Planned Down (mins)])</f>
        <v>170</v>
      </c>
      <c r="O11" s="26">
        <f>SUM(Table10[Unplanned Down (mins)])</f>
        <v>425</v>
      </c>
      <c r="P11" s="26">
        <f>COUNTIF(Table10[[#All],[Acheivement]],"achieved")</f>
        <v>0</v>
      </c>
      <c r="Q11" s="26">
        <f>COUNTIF(Table10[Acheivement],Table10[[#This Row],[Acheivement]])</f>
        <v>10</v>
      </c>
    </row>
    <row r="14" spans="1:17" x14ac:dyDescent="0.3">
      <c r="C14" s="23" t="s">
        <v>53</v>
      </c>
    </row>
    <row r="15" spans="1:17" x14ac:dyDescent="0.3">
      <c r="B15" s="23" t="s">
        <v>51</v>
      </c>
      <c r="C15" t="s">
        <v>59</v>
      </c>
      <c r="D15" t="s">
        <v>60</v>
      </c>
    </row>
    <row r="16" spans="1:17" x14ac:dyDescent="0.3">
      <c r="B16" s="24" t="s">
        <v>9</v>
      </c>
      <c r="C16">
        <v>25</v>
      </c>
      <c r="D16">
        <v>42</v>
      </c>
    </row>
    <row r="17" spans="2:13" x14ac:dyDescent="0.3">
      <c r="B17" s="24" t="s">
        <v>13</v>
      </c>
      <c r="C17">
        <v>25</v>
      </c>
      <c r="D17">
        <v>45</v>
      </c>
    </row>
    <row r="18" spans="2:13" x14ac:dyDescent="0.3">
      <c r="B18" s="24" t="s">
        <v>16</v>
      </c>
      <c r="C18">
        <v>38</v>
      </c>
      <c r="D18">
        <v>115</v>
      </c>
      <c r="K18" s="23" t="s">
        <v>53</v>
      </c>
    </row>
    <row r="19" spans="2:13" x14ac:dyDescent="0.3">
      <c r="B19" s="24" t="s">
        <v>20</v>
      </c>
      <c r="C19">
        <v>27</v>
      </c>
      <c r="D19">
        <v>138</v>
      </c>
      <c r="J19" s="23" t="s">
        <v>51</v>
      </c>
      <c r="K19" t="s">
        <v>62</v>
      </c>
      <c r="L19" t="s">
        <v>63</v>
      </c>
      <c r="M19" t="s">
        <v>58</v>
      </c>
    </row>
    <row r="20" spans="2:13" x14ac:dyDescent="0.3">
      <c r="B20" s="24" t="s">
        <v>23</v>
      </c>
      <c r="C20">
        <v>55</v>
      </c>
      <c r="D20">
        <v>85</v>
      </c>
      <c r="J20" s="24" t="s">
        <v>9</v>
      </c>
      <c r="K20">
        <v>0</v>
      </c>
      <c r="L20">
        <v>20</v>
      </c>
      <c r="M20">
        <v>810</v>
      </c>
    </row>
    <row r="21" spans="2:13" x14ac:dyDescent="0.3">
      <c r="B21" s="24" t="s">
        <v>52</v>
      </c>
      <c r="C21">
        <v>170</v>
      </c>
      <c r="D21">
        <v>425</v>
      </c>
      <c r="J21" s="24" t="s">
        <v>13</v>
      </c>
      <c r="K21">
        <v>0</v>
      </c>
      <c r="L21">
        <v>20</v>
      </c>
      <c r="M21">
        <v>850</v>
      </c>
    </row>
    <row r="22" spans="2:13" x14ac:dyDescent="0.3">
      <c r="J22" s="24" t="s">
        <v>16</v>
      </c>
      <c r="K22">
        <v>0</v>
      </c>
      <c r="L22">
        <v>20</v>
      </c>
      <c r="M22">
        <v>710</v>
      </c>
    </row>
    <row r="23" spans="2:13" x14ac:dyDescent="0.3">
      <c r="J23" s="24" t="s">
        <v>20</v>
      </c>
      <c r="K23">
        <v>0</v>
      </c>
      <c r="L23">
        <v>20</v>
      </c>
      <c r="M23">
        <v>670</v>
      </c>
    </row>
    <row r="24" spans="2:13" x14ac:dyDescent="0.3">
      <c r="J24" s="24" t="s">
        <v>23</v>
      </c>
      <c r="K24">
        <v>0</v>
      </c>
      <c r="L24">
        <v>20</v>
      </c>
      <c r="M24">
        <v>610</v>
      </c>
    </row>
    <row r="25" spans="2:13" x14ac:dyDescent="0.3">
      <c r="J25" s="24" t="s">
        <v>52</v>
      </c>
      <c r="K25">
        <v>0</v>
      </c>
      <c r="L25">
        <v>100</v>
      </c>
      <c r="M25">
        <v>3650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Arunthathi k</cp:lastModifiedBy>
  <dcterms:created xsi:type="dcterms:W3CDTF">2025-11-23T16:26:59Z</dcterms:created>
  <dcterms:modified xsi:type="dcterms:W3CDTF">2026-02-21T06:55:49Z</dcterms:modified>
</cp:coreProperties>
</file>